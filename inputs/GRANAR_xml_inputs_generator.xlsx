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72" windowHeight="0"/>
  </bookViews>
  <sheets>
    <sheet name="INPUTS" sheetId="5" r:id="rId1"/>
    <sheet name="xml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6" l="1"/>
  <c r="G2" i="5"/>
  <c r="B26" i="6"/>
  <c r="E28" i="5"/>
  <c r="E24" i="5"/>
  <c r="B9" i="6"/>
  <c r="B8" i="6"/>
  <c r="G4" i="5"/>
  <c r="G3" i="5"/>
  <c r="B27" i="6"/>
  <c r="B23" i="6"/>
  <c r="B22" i="6"/>
  <c r="B21" i="6"/>
  <c r="B20" i="6"/>
  <c r="B19" i="6"/>
  <c r="B18" i="6"/>
  <c r="B17" i="6"/>
  <c r="B16" i="6"/>
  <c r="B15" i="6"/>
  <c r="B14" i="6"/>
  <c r="B13" i="6"/>
  <c r="B12" i="6"/>
  <c r="M20" i="5"/>
  <c r="M19" i="5"/>
  <c r="M18" i="5"/>
  <c r="M17" i="5"/>
  <c r="M16" i="5"/>
  <c r="M15" i="5"/>
  <c r="M14" i="5"/>
  <c r="M13" i="5"/>
  <c r="M12" i="5"/>
  <c r="M11" i="5"/>
  <c r="M10" i="5"/>
  <c r="M9" i="5"/>
</calcChain>
</file>

<file path=xl/sharedStrings.xml><?xml version="1.0" encoding="utf-8"?>
<sst xmlns="http://schemas.openxmlformats.org/spreadsheetml/2006/main" count="60" uniqueCount="52">
  <si>
    <t>&lt;granar&gt;</t>
  </si>
  <si>
    <t>&lt;!-- General parameters --&gt;</t>
  </si>
  <si>
    <t>&lt;!-- Cell layers --&gt;</t>
  </si>
  <si>
    <t>&lt;!-- Other cell types --&gt;</t>
  </si>
  <si>
    <t>&lt;/granar&gt;</t>
  </si>
  <si>
    <t>General parameters</t>
  </si>
  <si>
    <t>Cell layers</t>
  </si>
  <si>
    <t>cell_diameter</t>
  </si>
  <si>
    <t>n_layers</t>
  </si>
  <si>
    <t>order</t>
  </si>
  <si>
    <t>n_files</t>
  </si>
  <si>
    <t>ratio</t>
  </si>
  <si>
    <t>proportion</t>
  </si>
  <si>
    <t>Others</t>
  </si>
  <si>
    <t>aerenchyma</t>
  </si>
  <si>
    <t>[Real number]</t>
  </si>
  <si>
    <t>[Integer]</t>
  </si>
  <si>
    <t>[Integer value -  
1 = monocot, 2 = dicot]</t>
  </si>
  <si>
    <t>[Integer - 
0 = no secondary growth, 
1 = with secondary growth]</t>
  </si>
  <si>
    <t>[Integer - 
0 = no randomness,
 3 = high randomness]</t>
  </si>
  <si>
    <t>[Integer - number of layers]</t>
  </si>
  <si>
    <t>[Real number - Cell width in mm]</t>
  </si>
  <si>
    <t>[Real number - Order defines the ranking of the tissue radialy]</t>
  </si>
  <si>
    <t>hair</t>
  </si>
  <si>
    <t>length</t>
  </si>
  <si>
    <t>stele</t>
  </si>
  <si>
    <t>pericycle</t>
  </si>
  <si>
    <t>endodermis</t>
  </si>
  <si>
    <t>inner_cortex</t>
  </si>
  <si>
    <t>cortex</t>
  </si>
  <si>
    <t>outer_cortex</t>
  </si>
  <si>
    <t>exodermis</t>
  </si>
  <si>
    <t>epidermis</t>
  </si>
  <si>
    <t>xylem</t>
  </si>
  <si>
    <t>phloem</t>
  </si>
  <si>
    <t>randomness - intensity</t>
  </si>
  <si>
    <t>randomness - seed</t>
  </si>
  <si>
    <t>[Integer - 
any value]</t>
  </si>
  <si>
    <t>central_xylem</t>
  </si>
  <si>
    <t>companion_cell</t>
  </si>
  <si>
    <t>cell_height</t>
  </si>
  <si>
    <t>wall_thickness</t>
  </si>
  <si>
    <t>smoothness</t>
  </si>
  <si>
    <t>[Integer - 
0 = no smoothness,
 3 = high smoothness]</t>
  </si>
  <si>
    <t>radius</t>
  </si>
  <si>
    <t>[Real number, in mm]</t>
  </si>
  <si>
    <t>[Real number, in mm - Positions the center of the cell according to the center of the root section]</t>
  </si>
  <si>
    <t>n_cells_per_phloem</t>
  </si>
  <si>
    <t>secondary growth</t>
  </si>
  <si>
    <t>plant type</t>
  </si>
  <si>
    <t>[Real number -  ratio of protoxylem to metaxylem]</t>
  </si>
  <si>
    <t>&lt;?xml version='1.0' encoding='utf-8'?&gt;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</si>
</sst>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center"/>
    </xf>
    <xf numFmtId="0" fontId="0" fillId="0" borderId="0" xfId="0" applyFill="1"/>
    <xf numFmtId="0" fontId="4" fillId="0" borderId="0" xfId="0" applyFont="1" applyFill="1" applyAlignment="1">
      <alignment wrapText="1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8"/>
  <sheetViews>
    <sheetView showGridLine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RowHeight="14.4" x14ac:dyDescent="0.3"/>
  <cols>
    <col min="1" max="1" width="3.77734375" customWidth="1"/>
    <col min="2" max="2" width="15.77734375" customWidth="1"/>
    <col min="3" max="8" width="15.77734375" style="1" customWidth="1"/>
    <col min="9" max="13" width="15.77734375" customWidth="1"/>
    <col min="14" max="14" width="15.77734375" style="17" customWidth="1"/>
    <col min="15" max="17" width="15.77734375" customWidth="1"/>
  </cols>
  <sheetData>
    <row r="2" spans="2:14" ht="36" customHeight="1" x14ac:dyDescent="0.3">
      <c r="B2" s="20" t="s">
        <v>5</v>
      </c>
      <c r="C2" s="8" t="s">
        <v>49</v>
      </c>
      <c r="D2" s="8" t="s">
        <v>48</v>
      </c>
      <c r="E2" s="8" t="s">
        <v>35</v>
      </c>
      <c r="F2" s="8" t="s">
        <v>36</v>
      </c>
      <c r="G2" s="15" t="str">
        <f>CONCATENATE("&lt;planttype param='",INPUTS!C4,"' /&gt;")</f>
        <v>&lt;planttype param='1' /&gt;</v>
      </c>
    </row>
    <row r="3" spans="2:14" s="11" customFormat="1" ht="60.6" customHeight="1" x14ac:dyDescent="0.25">
      <c r="B3" s="20"/>
      <c r="C3" s="9" t="s">
        <v>17</v>
      </c>
      <c r="D3" s="9" t="s">
        <v>18</v>
      </c>
      <c r="E3" s="9" t="s">
        <v>19</v>
      </c>
      <c r="F3" s="9" t="s">
        <v>37</v>
      </c>
      <c r="G3" s="15" t="str">
        <f>CONCATENATE("&lt;secondarygrowth param='",INPUTS!D4,"' /&gt;")</f>
        <v>&lt;secondarygrowth param='0' /&gt;</v>
      </c>
      <c r="H3" s="10"/>
      <c r="N3" s="18"/>
    </row>
    <row r="4" spans="2:14" x14ac:dyDescent="0.3">
      <c r="B4" s="20"/>
      <c r="C4" s="2">
        <v>1</v>
      </c>
      <c r="D4" s="2">
        <v>0</v>
      </c>
      <c r="E4" s="2">
        <v>3</v>
      </c>
      <c r="F4" s="2">
        <v>1</v>
      </c>
      <c r="G4" s="16" t="str">
        <f>CONCATENATE("&lt;randomness intensity='",INPUTS!E4,"' seed='",INPUTS!F4,"' /&gt;")</f>
        <v>&lt;randomness intensity='3' seed='1' /&gt;</v>
      </c>
    </row>
    <row r="7" spans="2:14" ht="36" customHeight="1" x14ac:dyDescent="0.3">
      <c r="B7" s="21" t="s">
        <v>6</v>
      </c>
      <c r="C7" s="8" t="s">
        <v>7</v>
      </c>
      <c r="D7" s="8" t="s">
        <v>8</v>
      </c>
      <c r="E7" s="8" t="s">
        <v>10</v>
      </c>
      <c r="F7" s="8" t="s">
        <v>47</v>
      </c>
      <c r="G7" s="8" t="s">
        <v>11</v>
      </c>
      <c r="H7" s="8" t="s">
        <v>44</v>
      </c>
      <c r="I7" s="8" t="s">
        <v>9</v>
      </c>
      <c r="J7" s="8" t="s">
        <v>40</v>
      </c>
      <c r="K7" s="8" t="s">
        <v>41</v>
      </c>
      <c r="L7" s="8" t="s">
        <v>42</v>
      </c>
    </row>
    <row r="8" spans="2:14" s="11" customFormat="1" ht="60.6" customHeight="1" x14ac:dyDescent="0.25">
      <c r="B8" s="22"/>
      <c r="C8" s="9" t="s">
        <v>21</v>
      </c>
      <c r="D8" s="9" t="s">
        <v>20</v>
      </c>
      <c r="E8" s="9" t="s">
        <v>20</v>
      </c>
      <c r="F8" s="9" t="s">
        <v>20</v>
      </c>
      <c r="G8" s="9" t="s">
        <v>50</v>
      </c>
      <c r="H8" s="9" t="s">
        <v>46</v>
      </c>
      <c r="I8" s="9" t="s">
        <v>22</v>
      </c>
      <c r="J8" s="9" t="s">
        <v>45</v>
      </c>
      <c r="K8" s="9" t="s">
        <v>45</v>
      </c>
      <c r="L8" s="9" t="s">
        <v>43</v>
      </c>
      <c r="N8" s="18"/>
    </row>
    <row r="9" spans="2:14" x14ac:dyDescent="0.3">
      <c r="B9" s="6" t="s">
        <v>38</v>
      </c>
      <c r="C9" s="5">
        <v>6.6454367340168949E-2</v>
      </c>
      <c r="D9" s="2">
        <v>1</v>
      </c>
      <c r="E9" s="2">
        <v>1</v>
      </c>
      <c r="F9" s="2"/>
      <c r="G9" s="2"/>
      <c r="H9" s="2"/>
      <c r="I9" s="2">
        <v>1</v>
      </c>
      <c r="J9" s="2">
        <v>4.3492600000000001</v>
      </c>
      <c r="K9" s="2">
        <v>1.9710071908292893E-3</v>
      </c>
      <c r="L9" s="2">
        <v>0.5</v>
      </c>
      <c r="M9" s="14" t="str">
        <f>IF(SUM(INPUTS!D9:L9)&gt;0,CONCATENATE("&lt;",INPUTS!B9," cell_diameter='",INPUTS!C9,IF(INPUTS!D9="","",CONCATENATE("' n_layers='",INPUTS!D9)),IF(INPUTS!E9="","",CONCATENATE("' n_files='",INPUTS!E9)),IF(INPUTS!F9="","",CONCATENATE("' n_cells_per_phloem='",INPUTS!F9)),IF(INPUTS!G9="","",CONCATENATE("' ratio='",INPUTS!G9)),IF(INPUTS!H9="","",CONCATENATE("' radius='",INPUTS!H9)),IF(INPUTS!I9="","",CONCATENATE("' order='",INPUTS!I9)),IF(INPUTS!J9="","",CONCATENATE("' cell_height='",INPUTS!J9)),IF(INPUTS!K9="","",CONCATENATE("' wall_thickness='",INPUTS!K9)),IF(INPUTS!L9="","",CONCATENATE("' smoothness='",INPUTS!L9)),"' /&gt;"),"")</f>
        <v>&lt;central_xylem cell_diameter='0.0664543673401689' n_layers='1' n_files='1' order='1' cell_height='4.34926' wall_thickness='0.00197100719082929' smoothness='0.5' /&gt;</v>
      </c>
    </row>
    <row r="10" spans="2:14" x14ac:dyDescent="0.3">
      <c r="B10" s="6" t="s">
        <v>25</v>
      </c>
      <c r="C10" s="5">
        <v>1.281545857340427E-2</v>
      </c>
      <c r="D10" s="2">
        <v>3</v>
      </c>
      <c r="E10" s="2"/>
      <c r="F10" s="2"/>
      <c r="G10" s="2"/>
      <c r="H10" s="2"/>
      <c r="I10" s="2">
        <v>2</v>
      </c>
      <c r="J10" s="2">
        <v>0.89558500000000008</v>
      </c>
      <c r="K10" s="2">
        <v>1.2198383202520501E-3</v>
      </c>
      <c r="L10" s="2">
        <v>0</v>
      </c>
      <c r="M10" s="14" t="str">
        <f>IF(SUM(INPUTS!D10:L10)&gt;0,CONCATENATE("&lt;",INPUTS!B10," cell_diameter='",INPUTS!C10,IF(INPUTS!D10="","",CONCATENATE("' n_layers='",INPUTS!D10)),IF(INPUTS!E10="","",CONCATENATE("' n_files='",INPUTS!E10)),IF(INPUTS!F10="","",CONCATENATE("' n_cells_per_phloem='",INPUTS!F10)),IF(INPUTS!G10="","",CONCATENATE("' ratio='",INPUTS!G10)),IF(INPUTS!H10="","",CONCATENATE("' radius='",INPUTS!H10)),IF(INPUTS!I10="","",CONCATENATE("' order='",INPUTS!I10)),IF(INPUTS!J10="","",CONCATENATE("' cell_height='",INPUTS!J10)),IF(INPUTS!K10="","",CONCATENATE("' wall_thickness='",INPUTS!K10)),IF(INPUTS!L10="","",CONCATENATE("' smoothness='",INPUTS!L10)),"' /&gt;"),"")</f>
        <v>&lt;stele cell_diameter='0.0128154585734043' n_layers='3' order='2' cell_height='0.895585' wall_thickness='0.00121983832025205' smoothness='0' /&gt;</v>
      </c>
    </row>
    <row r="11" spans="2:14" x14ac:dyDescent="0.3">
      <c r="B11" s="6" t="s">
        <v>33</v>
      </c>
      <c r="C11" s="5">
        <v>1.8746694174762563E-2</v>
      </c>
      <c r="D11" s="2"/>
      <c r="E11" s="2">
        <v>6</v>
      </c>
      <c r="F11" s="2"/>
      <c r="G11" s="2">
        <v>1</v>
      </c>
      <c r="H11" s="2">
        <v>6.4109381279242331E-2</v>
      </c>
      <c r="I11" s="2"/>
      <c r="J11" s="2">
        <v>4.3492600000000001</v>
      </c>
      <c r="K11" s="2">
        <v>1.8192371084292513E-3</v>
      </c>
      <c r="L11" s="2">
        <v>0.2</v>
      </c>
      <c r="M11" s="14" t="str">
        <f>IF(SUM(INPUTS!D11:L11)&gt;0,CONCATENATE("&lt;",INPUTS!B11," cell_diameter='",INPUTS!C11,IF(INPUTS!D11="","",CONCATENATE("' n_layers='",INPUTS!D11)),IF(INPUTS!E11="","",CONCATENATE("' n_files='",INPUTS!E11)),IF(INPUTS!F11="","",CONCATENATE("' n_cells_per_phloem='",INPUTS!F11)),IF(INPUTS!G11="","",CONCATENATE("' ratio='",INPUTS!G11)),IF(INPUTS!H11="","",CONCATENATE("' radius='",INPUTS!H11)),IF(INPUTS!I11="","",CONCATENATE("' order='",INPUTS!I11)),IF(INPUTS!J11="","",CONCATENATE("' cell_height='",INPUTS!J11)),IF(INPUTS!K11="","",CONCATENATE("' wall_thickness='",INPUTS!K11)),IF(INPUTS!L11="","",CONCATENATE("' smoothness='",INPUTS!L11)),"' /&gt;"),"")</f>
        <v>&lt;xylem cell_diameter='0.0187466941747626' n_files='6' ratio='1' radius='0.0641093812792423' cell_height='4.34926' wall_thickness='0.00181923710842925' smoothness='0.2' /&gt;</v>
      </c>
    </row>
    <row r="12" spans="2:14" x14ac:dyDescent="0.3">
      <c r="B12" s="6" t="s">
        <v>34</v>
      </c>
      <c r="C12" s="5">
        <v>1.8179399719623155E-2</v>
      </c>
      <c r="D12" s="2"/>
      <c r="E12" s="2"/>
      <c r="F12" s="2"/>
      <c r="G12" s="2"/>
      <c r="H12" s="2">
        <v>4.7832823549534449E-2</v>
      </c>
      <c r="I12" s="2"/>
      <c r="J12" s="2">
        <v>4.3492600000000001</v>
      </c>
      <c r="K12" s="2">
        <v>1.5072758749263753E-3</v>
      </c>
      <c r="L12" s="2">
        <v>0.2</v>
      </c>
      <c r="M12" s="14" t="str">
        <f>IF(SUM(INPUTS!D12:L12)&gt;0,CONCATENATE("&lt;",INPUTS!B12," cell_diameter='",INPUTS!C12,IF(INPUTS!D12="","",CONCATENATE("' n_layers='",INPUTS!D12)),IF(INPUTS!E12="","",CONCATENATE("' n_files='",INPUTS!E12)),IF(INPUTS!F12="","",CONCATENATE("' n_cells_per_phloem='",INPUTS!F12)),IF(INPUTS!G12="","",CONCATENATE("' ratio='",INPUTS!G12)),IF(INPUTS!H12="","",CONCATENATE("' radius='",INPUTS!H12)),IF(INPUTS!I12="","",CONCATENATE("' order='",INPUTS!I12)),IF(INPUTS!J12="","",CONCATENATE("' cell_height='",INPUTS!J12)),IF(INPUTS!K12="","",CONCATENATE("' wall_thickness='",INPUTS!K12)),IF(INPUTS!L12="","",CONCATENATE("' smoothness='",INPUTS!L12)),"' /&gt;"),"")</f>
        <v>&lt;phloem cell_diameter='0.0181793997196232' radius='0.0478328235495344' cell_height='4.34926' wall_thickness='0.00150727587492638' smoothness='0.2' /&gt;</v>
      </c>
    </row>
    <row r="13" spans="2:14" x14ac:dyDescent="0.3">
      <c r="B13" s="6" t="s">
        <v>39</v>
      </c>
      <c r="C13" s="5">
        <v>9.9438748599348127E-3</v>
      </c>
      <c r="D13" s="2"/>
      <c r="E13" s="2"/>
      <c r="F13" s="2">
        <v>3</v>
      </c>
      <c r="G13" s="2"/>
      <c r="H13" s="2"/>
      <c r="I13" s="2"/>
      <c r="J13" s="2">
        <v>0.89558500000000008</v>
      </c>
      <c r="K13" s="2">
        <v>1.2198383202520501E-3</v>
      </c>
      <c r="L13" s="2">
        <v>0</v>
      </c>
      <c r="M13" s="14" t="str">
        <f>IF(SUM(INPUTS!D13:L13)&gt;0,CONCATENATE("&lt;",INPUTS!B13," cell_diameter='",INPUTS!C13,IF(INPUTS!D13="","",CONCATENATE("' n_layers='",INPUTS!D13)),IF(INPUTS!E13="","",CONCATENATE("' n_files='",INPUTS!E13)),IF(INPUTS!F13="","",CONCATENATE("' n_cells_per_phloem='",INPUTS!F13)),IF(INPUTS!G13="","",CONCATENATE("' ratio='",INPUTS!G13)),IF(INPUTS!H13="","",CONCATENATE("' radius='",INPUTS!H13)),IF(INPUTS!I13="","",CONCATENATE("' order='",INPUTS!I13)),IF(INPUTS!J13="","",CONCATENATE("' cell_height='",INPUTS!J13)),IF(INPUTS!K13="","",CONCATENATE("' wall_thickness='",INPUTS!K13)),IF(INPUTS!L13="","",CONCATENATE("' smoothness='",INPUTS!L13)),"' /&gt;"),"")</f>
        <v>&lt;companion_cell cell_diameter='0.00994387485993481' n_cells_per_phloem='3' cell_height='0.895585' wall_thickness='0.00121983832025205' smoothness='0' /&gt;</v>
      </c>
    </row>
    <row r="14" spans="2:14" x14ac:dyDescent="0.3">
      <c r="B14" s="6" t="s">
        <v>26</v>
      </c>
      <c r="C14" s="5">
        <v>1.3968484478179595E-2</v>
      </c>
      <c r="D14" s="2">
        <v>1</v>
      </c>
      <c r="E14" s="2"/>
      <c r="F14" s="2"/>
      <c r="G14" s="2"/>
      <c r="H14" s="2"/>
      <c r="I14" s="2">
        <v>3</v>
      </c>
      <c r="J14" s="2">
        <v>0.89558500000000008</v>
      </c>
      <c r="K14" s="2">
        <v>1.9165684407448998E-3</v>
      </c>
      <c r="L14" s="2">
        <v>0.2</v>
      </c>
      <c r="M14" s="14" t="str">
        <f>IF(SUM(INPUTS!D14:L14)&gt;0,CONCATENATE("&lt;",INPUTS!B14," cell_diameter='",INPUTS!C14,IF(INPUTS!D14="","",CONCATENATE("' n_layers='",INPUTS!D14)),IF(INPUTS!E14="","",CONCATENATE("' n_files='",INPUTS!E14)),IF(INPUTS!F14="","",CONCATENATE("' n_cells_per_phloem='",INPUTS!F14)),IF(INPUTS!G14="","",CONCATENATE("' ratio='",INPUTS!G14)),IF(INPUTS!H14="","",CONCATENATE("' radius='",INPUTS!H14)),IF(INPUTS!I14="","",CONCATENATE("' order='",INPUTS!I14)),IF(INPUTS!J14="","",CONCATENATE("' cell_height='",INPUTS!J14)),IF(INPUTS!K14="","",CONCATENATE("' wall_thickness='",INPUTS!K14)),IF(INPUTS!L14="","",CONCATENATE("' smoothness='",INPUTS!L14)),"' /&gt;"),"")</f>
        <v>&lt;pericycle cell_diameter='0.0139684844781796' n_layers='1' order='3' cell_height='0.895585' wall_thickness='0.0019165684407449' smoothness='0.2' /&gt;</v>
      </c>
    </row>
    <row r="15" spans="2:14" x14ac:dyDescent="0.3">
      <c r="B15" s="6" t="s">
        <v>27</v>
      </c>
      <c r="C15" s="5">
        <v>2.0105290098002614E-2</v>
      </c>
      <c r="D15" s="2">
        <v>1</v>
      </c>
      <c r="E15" s="2"/>
      <c r="F15" s="2"/>
      <c r="G15" s="2"/>
      <c r="H15" s="2"/>
      <c r="I15" s="2">
        <v>4</v>
      </c>
      <c r="J15" s="2">
        <v>0.89558500000000008</v>
      </c>
      <c r="K15" s="2">
        <v>1.6834980689988495E-3</v>
      </c>
      <c r="L15" s="2">
        <v>0.2</v>
      </c>
      <c r="M15" s="14" t="str">
        <f>IF(SUM(INPUTS!D15:L15)&gt;0,CONCATENATE("&lt;",INPUTS!B15," cell_diameter='",INPUTS!C15,IF(INPUTS!D15="","",CONCATENATE("' n_layers='",INPUTS!D15)),IF(INPUTS!E15="","",CONCATENATE("' n_files='",INPUTS!E15)),IF(INPUTS!F15="","",CONCATENATE("' n_cells_per_phloem='",INPUTS!F15)),IF(INPUTS!G15="","",CONCATENATE("' ratio='",INPUTS!G15)),IF(INPUTS!H15="","",CONCATENATE("' radius='",INPUTS!H15)),IF(INPUTS!I15="","",CONCATENATE("' order='",INPUTS!I15)),IF(INPUTS!J15="","",CONCATENATE("' cell_height='",INPUTS!J15)),IF(INPUTS!K15="","",CONCATENATE("' wall_thickness='",INPUTS!K15)),IF(INPUTS!L15="","",CONCATENATE("' smoothness='",INPUTS!L15)),"' /&gt;"),"")</f>
        <v>&lt;endodermis cell_diameter='0.0201052900980026' n_layers='1' order='4' cell_height='0.895585' wall_thickness='0.00168349806899885' smoothness='0.2' /&gt;</v>
      </c>
    </row>
    <row r="16" spans="2:14" x14ac:dyDescent="0.3">
      <c r="B16" s="6" t="s">
        <v>28</v>
      </c>
      <c r="C16" s="5">
        <v>2.9386739113945411E-2</v>
      </c>
      <c r="D16" s="2">
        <v>1</v>
      </c>
      <c r="E16" s="2"/>
      <c r="F16" s="2"/>
      <c r="G16" s="2"/>
      <c r="H16" s="2"/>
      <c r="I16" s="2">
        <v>5</v>
      </c>
      <c r="J16" s="2">
        <v>1.41299</v>
      </c>
      <c r="K16" s="2">
        <v>2.5592415026526364E-3</v>
      </c>
      <c r="L16" s="2">
        <v>1</v>
      </c>
      <c r="M16" s="14" t="str">
        <f>IF(SUM(INPUTS!D16:L16)&gt;0,CONCATENATE("&lt;",INPUTS!B16," cell_diameter='",INPUTS!C16,IF(INPUTS!D16="","",CONCATENATE("' n_layers='",INPUTS!D16)),IF(INPUTS!E16="","",CONCATENATE("' n_files='",INPUTS!E16)),IF(INPUTS!F16="","",CONCATENATE("' n_cells_per_phloem='",INPUTS!F16)),IF(INPUTS!G16="","",CONCATENATE("' ratio='",INPUTS!G16)),IF(INPUTS!H16="","",CONCATENATE("' radius='",INPUTS!H16)),IF(INPUTS!I16="","",CONCATENATE("' order='",INPUTS!I16)),IF(INPUTS!J16="","",CONCATENATE("' cell_height='",INPUTS!J16)),IF(INPUTS!K16="","",CONCATENATE("' wall_thickness='",INPUTS!K16)),IF(INPUTS!L16="","",CONCATENATE("' smoothness='",INPUTS!L16)),"' /&gt;"),"")</f>
        <v>&lt;inner_cortex cell_diameter='0.0293867391139454' n_layers='1' order='5' cell_height='1.41299' wall_thickness='0.00255924150265264' smoothness='1' /&gt;</v>
      </c>
    </row>
    <row r="17" spans="2:14" x14ac:dyDescent="0.3">
      <c r="B17" s="6" t="s">
        <v>29</v>
      </c>
      <c r="C17" s="5">
        <v>5.386042387368277E-2</v>
      </c>
      <c r="D17" s="2">
        <v>2</v>
      </c>
      <c r="E17" s="2"/>
      <c r="F17" s="2"/>
      <c r="G17" s="2"/>
      <c r="H17" s="2"/>
      <c r="I17" s="2">
        <v>6</v>
      </c>
      <c r="J17" s="2">
        <v>1.41299</v>
      </c>
      <c r="K17" s="2">
        <v>2.5621041888972147E-3</v>
      </c>
      <c r="L17" s="2">
        <v>1</v>
      </c>
      <c r="M17" s="14" t="str">
        <f>IF(SUM(INPUTS!D17:L17)&gt;0,CONCATENATE("&lt;",INPUTS!B17," cell_diameter='",INPUTS!C17,IF(INPUTS!D17="","",CONCATENATE("' n_layers='",INPUTS!D17)),IF(INPUTS!E17="","",CONCATENATE("' n_files='",INPUTS!E17)),IF(INPUTS!F17="","",CONCATENATE("' n_cells_per_phloem='",INPUTS!F17)),IF(INPUTS!G17="","",CONCATENATE("' ratio='",INPUTS!G17)),IF(INPUTS!H17="","",CONCATENATE("' radius='",INPUTS!H17)),IF(INPUTS!I17="","",CONCATENATE("' order='",INPUTS!I17)),IF(INPUTS!J17="","",CONCATENATE("' cell_height='",INPUTS!J17)),IF(INPUTS!K17="","",CONCATENATE("' wall_thickness='",INPUTS!K17)),IF(INPUTS!L17="","",CONCATENATE("' smoothness='",INPUTS!L17)),"' /&gt;"),"")</f>
        <v>&lt;cortex cell_diameter='0.0538604238736828' n_layers='2' order='6' cell_height='1.41299' wall_thickness='0.00256210418889721' smoothness='1' /&gt;</v>
      </c>
    </row>
    <row r="18" spans="2:14" x14ac:dyDescent="0.3">
      <c r="B18" s="6" t="s">
        <v>30</v>
      </c>
      <c r="C18" s="5"/>
      <c r="D18" s="2"/>
      <c r="E18" s="2"/>
      <c r="F18" s="2"/>
      <c r="G18" s="2"/>
      <c r="H18" s="2"/>
      <c r="I18" s="2"/>
      <c r="J18" s="2"/>
      <c r="K18" s="2"/>
      <c r="L18" s="2"/>
      <c r="M18" s="14" t="str">
        <f>IF(SUM(INPUTS!D18:L18)&gt;0,CONCATENATE("&lt;",INPUTS!B18," cell_diameter='",INPUTS!C18,IF(INPUTS!D18="","",CONCATENATE("' n_layers='",INPUTS!D18)),IF(INPUTS!E18="","",CONCATENATE("' n_files='",INPUTS!E18)),IF(INPUTS!F18="","",CONCATENATE("' n_cells_per_phloem='",INPUTS!F18)),IF(INPUTS!G18="","",CONCATENATE("' ratio='",INPUTS!G18)),IF(INPUTS!H18="","",CONCATENATE("' radius='",INPUTS!H18)),IF(INPUTS!I18="","",CONCATENATE("' order='",INPUTS!I18)),IF(INPUTS!J18="","",CONCATENATE("' cell_height='",INPUTS!J18)),IF(INPUTS!K18="","",CONCATENATE("' wall_thickness='",INPUTS!K18)),IF(INPUTS!L18="","",CONCATENATE("' smoothness='",INPUTS!L18)),"' /&gt;"),"")</f>
        <v/>
      </c>
    </row>
    <row r="19" spans="2:14" x14ac:dyDescent="0.3">
      <c r="B19" s="6" t="s">
        <v>31</v>
      </c>
      <c r="C19" s="5">
        <v>0.04</v>
      </c>
      <c r="D19" s="2">
        <v>1</v>
      </c>
      <c r="E19" s="2"/>
      <c r="F19" s="2"/>
      <c r="G19" s="2"/>
      <c r="H19" s="2"/>
      <c r="I19" s="2">
        <v>8</v>
      </c>
      <c r="J19" s="2">
        <v>1.296576</v>
      </c>
      <c r="K19" s="2">
        <v>4.1890642045656502E-3</v>
      </c>
      <c r="L19" s="2">
        <v>0.5</v>
      </c>
      <c r="M19" s="14" t="str">
        <f>IF(SUM(INPUTS!D19:L19)&gt;0,CONCATENATE("&lt;",INPUTS!B19," cell_diameter='",INPUTS!C19,IF(INPUTS!D19="","",CONCATENATE("' n_layers='",INPUTS!D19)),IF(INPUTS!E19="","",CONCATENATE("' n_files='",INPUTS!E19)),IF(INPUTS!F19="","",CONCATENATE("' n_cells_per_phloem='",INPUTS!F19)),IF(INPUTS!G19="","",CONCATENATE("' ratio='",INPUTS!G19)),IF(INPUTS!H19="","",CONCATENATE("' radius='",INPUTS!H19)),IF(INPUTS!I19="","",CONCATENATE("' order='",INPUTS!I19)),IF(INPUTS!J19="","",CONCATENATE("' cell_height='",INPUTS!J19)),IF(INPUTS!K19="","",CONCATENATE("' wall_thickness='",INPUTS!K19)),IF(INPUTS!L19="","",CONCATENATE("' smoothness='",INPUTS!L19)),"' /&gt;"),"")</f>
        <v>&lt;exodermis cell_diameter='0.04' n_layers='1' order='8' cell_height='1.296576' wall_thickness='0.00418906420456565' smoothness='0.5' /&gt;</v>
      </c>
    </row>
    <row r="20" spans="2:14" x14ac:dyDescent="0.3">
      <c r="B20" s="6" t="s">
        <v>32</v>
      </c>
      <c r="C20" s="5">
        <v>0.02</v>
      </c>
      <c r="D20" s="2">
        <v>1</v>
      </c>
      <c r="E20" s="2"/>
      <c r="F20" s="2"/>
      <c r="G20" s="2"/>
      <c r="H20" s="2"/>
      <c r="I20" s="2">
        <v>9</v>
      </c>
      <c r="J20" s="2">
        <v>1.296576</v>
      </c>
      <c r="K20" s="2">
        <v>4.1890642045656502E-3</v>
      </c>
      <c r="L20" s="2">
        <v>0.2</v>
      </c>
      <c r="M20" s="14" t="str">
        <f>IF(SUM(INPUTS!D20:L20)&gt;0,CONCATENATE("&lt;",INPUTS!B20," cell_diameter='",INPUTS!C20,IF(INPUTS!D20="","",CONCATENATE("' n_layers='",INPUTS!D20)),IF(INPUTS!E20="","",CONCATENATE("' n_files='",INPUTS!E20)),IF(INPUTS!F20="","",CONCATENATE("' n_cells_per_phloem='",INPUTS!F20)),IF(INPUTS!G20="","",CONCATENATE("' ratio='",INPUTS!G20)),IF(INPUTS!H20="","",CONCATENATE("' radius='",INPUTS!H20)),IF(INPUTS!I20="","",CONCATENATE("' order='",INPUTS!I20)),IF(INPUTS!J20="","",CONCATENATE("' cell_height='",INPUTS!J20)),IF(INPUTS!K20="","",CONCATENATE("' wall_thickness='",INPUTS!K20)),IF(INPUTS!L20="","",CONCATENATE("' smoothness='",INPUTS!L20)),"' /&gt;"),"")</f>
        <v>&lt;epidermis cell_diameter='0.02' n_layers='1' order='9' cell_height='1.296576' wall_thickness='0.00418906420456565' smoothness='0.2' /&gt;</v>
      </c>
    </row>
    <row r="21" spans="2:14" x14ac:dyDescent="0.3">
      <c r="C21"/>
      <c r="D21"/>
      <c r="E21"/>
      <c r="F21"/>
      <c r="G21"/>
    </row>
    <row r="22" spans="2:14" ht="15" customHeight="1" x14ac:dyDescent="0.3">
      <c r="B22" s="21" t="s">
        <v>13</v>
      </c>
      <c r="C22" s="4" t="s">
        <v>12</v>
      </c>
      <c r="D22" s="4" t="s">
        <v>10</v>
      </c>
      <c r="E22"/>
    </row>
    <row r="23" spans="2:14" ht="45" customHeight="1" x14ac:dyDescent="0.3">
      <c r="B23" s="22"/>
      <c r="C23" s="3" t="s">
        <v>15</v>
      </c>
      <c r="D23" s="3" t="s">
        <v>16</v>
      </c>
      <c r="E23"/>
    </row>
    <row r="24" spans="2:14" x14ac:dyDescent="0.3">
      <c r="B24" s="7" t="s">
        <v>14</v>
      </c>
      <c r="C24" s="2">
        <v>0</v>
      </c>
      <c r="D24" s="2">
        <v>10</v>
      </c>
      <c r="E24" s="14" t="str">
        <f>IF(SUM(C24:D24)=0,"",CONCATENATE("&lt;", B24, IF(C24="","",CONCATENATE(" proportion='",C24)),IF(C24="","",CONCATENATE("' n_files='",D24)),"' /&gt;"))</f>
        <v>&lt;aerenchyma proportion='0' n_files='10' /&gt;</v>
      </c>
      <c r="F24"/>
    </row>
    <row r="26" spans="2:14" ht="15" customHeight="1" x14ac:dyDescent="0.3">
      <c r="B26" s="21" t="s">
        <v>13</v>
      </c>
      <c r="C26" s="4" t="s">
        <v>24</v>
      </c>
      <c r="D26" s="4" t="s">
        <v>10</v>
      </c>
    </row>
    <row r="27" spans="2:14" ht="45" customHeight="1" x14ac:dyDescent="0.3">
      <c r="B27" s="22"/>
      <c r="C27" s="3" t="s">
        <v>15</v>
      </c>
      <c r="D27" s="3" t="s">
        <v>16</v>
      </c>
    </row>
    <row r="28" spans="2:14" s="1" customFormat="1" x14ac:dyDescent="0.3">
      <c r="B28" s="7" t="s">
        <v>23</v>
      </c>
      <c r="C28" s="2"/>
      <c r="D28" s="2"/>
      <c r="E28" s="14" t="str">
        <f>IF(SUM(C28:D28)=0,"",CONCATENATE("&lt;", B28, IF(C28="","",CONCATENATE(" length='",C28)),IF(C28="","",CONCATENATE("' n_files='",D28)),"' /&gt;"))</f>
        <v/>
      </c>
      <c r="I28"/>
      <c r="N28" s="19"/>
    </row>
  </sheetData>
  <mergeCells count="4">
    <mergeCell ref="B2:B4"/>
    <mergeCell ref="B7:B8"/>
    <mergeCell ref="B22:B23"/>
    <mergeCell ref="B26:B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showGridLines="0" workbookViewId="0"/>
  </sheetViews>
  <sheetFormatPr baseColWidth="10" defaultRowHeight="14.4" x14ac:dyDescent="0.3"/>
  <cols>
    <col min="1" max="7" width="11.5546875" style="13"/>
    <col min="8" max="11" width="11.5546875" style="12"/>
  </cols>
  <sheetData>
    <row r="1" spans="1:3" x14ac:dyDescent="0.3">
      <c r="A1" s="13" t="s">
        <v>51</v>
      </c>
    </row>
    <row r="4" spans="1:3" x14ac:dyDescent="0.3">
      <c r="A4" s="13" t="s">
        <v>0</v>
      </c>
    </row>
    <row r="6" spans="1:3" x14ac:dyDescent="0.3">
      <c r="B6" s="13" t="s">
        <v>1</v>
      </c>
    </row>
    <row r="7" spans="1:3" x14ac:dyDescent="0.3">
      <c r="B7" s="15" t="str">
        <f>CONCATENATE("&lt;planttype param='",INPUTS!C4,"' /&gt;")</f>
        <v>&lt;planttype param='1' /&gt;</v>
      </c>
    </row>
    <row r="8" spans="1:3" x14ac:dyDescent="0.3">
      <c r="B8" s="15" t="str">
        <f>CONCATENATE("&lt;secondarygrowth param='",INPUTS!D4,"' /&gt;")</f>
        <v>&lt;secondarygrowth param='0' /&gt;</v>
      </c>
    </row>
    <row r="9" spans="1:3" x14ac:dyDescent="0.3">
      <c r="B9" s="16" t="str">
        <f>CONCATENATE("&lt;randomness intensity='",INPUTS!E4,"' seed='",INPUTS!F4,"' /&gt;")</f>
        <v>&lt;randomness intensity='3' seed='1' /&gt;</v>
      </c>
    </row>
    <row r="11" spans="1:3" x14ac:dyDescent="0.3">
      <c r="B11" s="13" t="s">
        <v>2</v>
      </c>
    </row>
    <row r="12" spans="1:3" x14ac:dyDescent="0.3">
      <c r="B12" s="14" t="str">
        <f>IF(SUM(INPUTS!D9:L9)&gt;0,CONCATENATE("&lt;",INPUTS!B9," cell_diameter='",INPUTS!C9,IF(INPUTS!D9="","",CONCATENATE("' n_layers='",INPUTS!D9)),IF(INPUTS!E9="","",CONCATENATE("' n_files='",INPUTS!E9)),IF(INPUTS!F9="","",CONCATENATE("' n_cells_per_phloem='",INPUTS!F9)),IF(INPUTS!G9="","",CONCATENATE("' ratio='",INPUTS!G9)),IF(INPUTS!H9="","",CONCATENATE("' radius='",INPUTS!H9)),IF(INPUTS!I9="","",CONCATENATE("' order='",INPUTS!I9)),IF(INPUTS!J9="","",CONCATENATE("' cell_height='",INPUTS!J9)),IF(INPUTS!K9="","",CONCATENATE("' wall_thickness='",INPUTS!K9)),IF(INPUTS!L9="","",CONCATENATE("' smoothness='",INPUTS!L9)),"' /&gt;"),"")</f>
        <v>&lt;central_xylem cell_diameter='0.0664543673401689' n_layers='1' n_files='1' order='1' cell_height='4.34926' wall_thickness='0.00197100719082929' smoothness='0.5' /&gt;</v>
      </c>
      <c r="C12" s="17"/>
    </row>
    <row r="13" spans="1:3" x14ac:dyDescent="0.3">
      <c r="B13" s="14" t="str">
        <f>IF(SUM(INPUTS!D10:L10)&gt;0,CONCATENATE("&lt;",INPUTS!B10," cell_diameter='",INPUTS!C10,IF(INPUTS!D10="","",CONCATENATE("' n_layers='",INPUTS!D10)),IF(INPUTS!E10="","",CONCATENATE("' n_files='",INPUTS!E10)),IF(INPUTS!F10="","",CONCATENATE("' n_cells_per_phloem='",INPUTS!F10)),IF(INPUTS!G10="","",CONCATENATE("' ratio='",INPUTS!G10)),IF(INPUTS!H10="","",CONCATENATE("' radius='",INPUTS!H10)),IF(INPUTS!I10="","",CONCATENATE("' order='",INPUTS!I10)),IF(INPUTS!J10="","",CONCATENATE("' cell_height='",INPUTS!J10)),IF(INPUTS!K10="","",CONCATENATE("' wall_thickness='",INPUTS!K10)),IF(INPUTS!L10="","",CONCATENATE("' smoothness='",INPUTS!L10)),"' /&gt;"),"")</f>
        <v>&lt;stele cell_diameter='0.0128154585734043' n_layers='3' order='2' cell_height='0.895585' wall_thickness='0.00121983832025205' smoothness='0' /&gt;</v>
      </c>
      <c r="C13" s="17"/>
    </row>
    <row r="14" spans="1:3" x14ac:dyDescent="0.3">
      <c r="B14" s="14" t="str">
        <f>IF(SUM(INPUTS!D11:L11)&gt;0,CONCATENATE("&lt;",INPUTS!B11," cell_diameter='",INPUTS!C11,IF(INPUTS!D11="","",CONCATENATE("' n_layers='",INPUTS!D11)),IF(INPUTS!E11="","",CONCATENATE("' n_files='",INPUTS!E11)),IF(INPUTS!F11="","",CONCATENATE("' n_cells_per_phloem='",INPUTS!F11)),IF(INPUTS!G11="","",CONCATENATE("' ratio='",INPUTS!G11)),IF(INPUTS!H11="","",CONCATENATE("' radius='",INPUTS!H11)),IF(INPUTS!I11="","",CONCATENATE("' order='",INPUTS!I11)),IF(INPUTS!J11="","",CONCATENATE("' cell_height='",INPUTS!J11)),IF(INPUTS!K11="","",CONCATENATE("' wall_thickness='",INPUTS!K11)),IF(INPUTS!L11="","",CONCATENATE("' smoothness='",INPUTS!L11)),"' /&gt;"),"")</f>
        <v>&lt;xylem cell_diameter='0.0187466941747626' n_files='6' ratio='1' radius='0.0641093812792423' cell_height='4.34926' wall_thickness='0.00181923710842925' smoothness='0.2' /&gt;</v>
      </c>
      <c r="C14" s="17"/>
    </row>
    <row r="15" spans="1:3" x14ac:dyDescent="0.3">
      <c r="B15" s="14" t="str">
        <f>IF(SUM(INPUTS!D12:L12)&gt;0,CONCATENATE("&lt;",INPUTS!B12," cell_diameter='",INPUTS!C12,IF(INPUTS!D12="","",CONCATENATE("' n_layers='",INPUTS!D12)),IF(INPUTS!E12="","",CONCATENATE("' n_files='",INPUTS!E12)),IF(INPUTS!F12="","",CONCATENATE("' n_cells_per_phloem='",INPUTS!F12)),IF(INPUTS!G12="","",CONCATENATE("' ratio='",INPUTS!G12)),IF(INPUTS!H12="","",CONCATENATE("' radius='",INPUTS!H12)),IF(INPUTS!I12="","",CONCATENATE("' order='",INPUTS!I12)),IF(INPUTS!J12="","",CONCATENATE("' cell_height='",INPUTS!J12)),IF(INPUTS!K12="","",CONCATENATE("' wall_thickness='",INPUTS!K12)),IF(INPUTS!L12="","",CONCATENATE("' smoothness='",INPUTS!L12)),"' /&gt;"),"")</f>
        <v>&lt;phloem cell_diameter='0.0181793997196232' radius='0.0478328235495344' cell_height='4.34926' wall_thickness='0.00150727587492638' smoothness='0.2' /&gt;</v>
      </c>
      <c r="C15" s="17"/>
    </row>
    <row r="16" spans="1:3" x14ac:dyDescent="0.3">
      <c r="B16" s="14" t="str">
        <f>IF(SUM(INPUTS!D13:L13)&gt;0,CONCATENATE("&lt;",INPUTS!B13," cell_diameter='",INPUTS!C13,IF(INPUTS!D13="","",CONCATENATE("' n_layers='",INPUTS!D13)),IF(INPUTS!E13="","",CONCATENATE("' n_files='",INPUTS!E13)),IF(INPUTS!F13="","",CONCATENATE("' n_cells_per_phloem='",INPUTS!F13)),IF(INPUTS!G13="","",CONCATENATE("' ratio='",INPUTS!G13)),IF(INPUTS!H13="","",CONCATENATE("' radius='",INPUTS!H13)),IF(INPUTS!I13="","",CONCATENATE("' order='",INPUTS!I13)),IF(INPUTS!J13="","",CONCATENATE("' cell_height='",INPUTS!J13)),IF(INPUTS!K13="","",CONCATENATE("' wall_thickness='",INPUTS!K13)),IF(INPUTS!L13="","",CONCATENATE("' smoothness='",INPUTS!L13)),"' /&gt;"),"")</f>
        <v>&lt;companion_cell cell_diameter='0.00994387485993481' n_cells_per_phloem='3' cell_height='0.895585' wall_thickness='0.00121983832025205' smoothness='0' /&gt;</v>
      </c>
      <c r="C16" s="17"/>
    </row>
    <row r="17" spans="1:3" x14ac:dyDescent="0.3">
      <c r="B17" s="14" t="str">
        <f>IF(SUM(INPUTS!D14:L14)&gt;0,CONCATENATE("&lt;",INPUTS!B14," cell_diameter='",INPUTS!C14,IF(INPUTS!D14="","",CONCATENATE("' n_layers='",INPUTS!D14)),IF(INPUTS!E14="","",CONCATENATE("' n_files='",INPUTS!E14)),IF(INPUTS!F14="","",CONCATENATE("' n_cells_per_phloem='",INPUTS!F14)),IF(INPUTS!G14="","",CONCATENATE("' ratio='",INPUTS!G14)),IF(INPUTS!H14="","",CONCATENATE("' radius='",INPUTS!H14)),IF(INPUTS!I14="","",CONCATENATE("' order='",INPUTS!I14)),IF(INPUTS!J14="","",CONCATENATE("' cell_height='",INPUTS!J14)),IF(INPUTS!K14="","",CONCATENATE("' wall_thickness='",INPUTS!K14)),IF(INPUTS!L14="","",CONCATENATE("' smoothness='",INPUTS!L14)),"' /&gt;"),"")</f>
        <v>&lt;pericycle cell_diameter='0.0139684844781796' n_layers='1' order='3' cell_height='0.895585' wall_thickness='0.0019165684407449' smoothness='0.2' /&gt;</v>
      </c>
      <c r="C17" s="17"/>
    </row>
    <row r="18" spans="1:3" x14ac:dyDescent="0.3">
      <c r="B18" s="14" t="str">
        <f>IF(SUM(INPUTS!D15:L15)&gt;0,CONCATENATE("&lt;",INPUTS!B15," cell_diameter='",INPUTS!C15,IF(INPUTS!D15="","",CONCATENATE("' n_layers='",INPUTS!D15)),IF(INPUTS!E15="","",CONCATENATE("' n_files='",INPUTS!E15)),IF(INPUTS!F15="","",CONCATENATE("' n_cells_per_phloem='",INPUTS!F15)),IF(INPUTS!G15="","",CONCATENATE("' ratio='",INPUTS!G15)),IF(INPUTS!H15="","",CONCATENATE("' radius='",INPUTS!H15)),IF(INPUTS!I15="","",CONCATENATE("' order='",INPUTS!I15)),IF(INPUTS!J15="","",CONCATENATE("' cell_height='",INPUTS!J15)),IF(INPUTS!K15="","",CONCATENATE("' wall_thickness='",INPUTS!K15)),IF(INPUTS!L15="","",CONCATENATE("' smoothness='",INPUTS!L15)),"' /&gt;"),"")</f>
        <v>&lt;endodermis cell_diameter='0.0201052900980026' n_layers='1' order='4' cell_height='0.895585' wall_thickness='0.00168349806899885' smoothness='0.2' /&gt;</v>
      </c>
      <c r="C18" s="17"/>
    </row>
    <row r="19" spans="1:3" x14ac:dyDescent="0.3">
      <c r="B19" s="14" t="str">
        <f>IF(SUM(INPUTS!D16:L16)&gt;0,CONCATENATE("&lt;",INPUTS!B16," cell_diameter='",INPUTS!C16,IF(INPUTS!D16="","",CONCATENATE("' n_layers='",INPUTS!D16)),IF(INPUTS!E16="","",CONCATENATE("' n_files='",INPUTS!E16)),IF(INPUTS!F16="","",CONCATENATE("' n_cells_per_phloem='",INPUTS!F16)),IF(INPUTS!G16="","",CONCATENATE("' ratio='",INPUTS!G16)),IF(INPUTS!H16="","",CONCATENATE("' radius='",INPUTS!H16)),IF(INPUTS!I16="","",CONCATENATE("' order='",INPUTS!I16)),IF(INPUTS!J16="","",CONCATENATE("' cell_height='",INPUTS!J16)),IF(INPUTS!K16="","",CONCATENATE("' wall_thickness='",INPUTS!K16)),IF(INPUTS!L16="","",CONCATENATE("' smoothness='",INPUTS!L16)),"' /&gt;"),"")</f>
        <v>&lt;inner_cortex cell_diameter='0.0293867391139454' n_layers='1' order='5' cell_height='1.41299' wall_thickness='0.00255924150265264' smoothness='1' /&gt;</v>
      </c>
      <c r="C19" s="17"/>
    </row>
    <row r="20" spans="1:3" x14ac:dyDescent="0.3">
      <c r="B20" s="14" t="str">
        <f>IF(SUM(INPUTS!D17:L17)&gt;0,CONCATENATE("&lt;",INPUTS!B17," cell_diameter='",INPUTS!C17,IF(INPUTS!D17="","",CONCATENATE("' n_layers='",INPUTS!D17)),IF(INPUTS!E17="","",CONCATENATE("' n_files='",INPUTS!E17)),IF(INPUTS!F17="","",CONCATENATE("' n_cells_per_phloem='",INPUTS!F17)),IF(INPUTS!G17="","",CONCATENATE("' ratio='",INPUTS!G17)),IF(INPUTS!H17="","",CONCATENATE("' radius='",INPUTS!H17)),IF(INPUTS!I17="","",CONCATENATE("' order='",INPUTS!I17)),IF(INPUTS!J17="","",CONCATENATE("' cell_height='",INPUTS!J17)),IF(INPUTS!K17="","",CONCATENATE("' wall_thickness='",INPUTS!K17)),IF(INPUTS!L17="","",CONCATENATE("' smoothness='",INPUTS!L17)),"' /&gt;"),"")</f>
        <v>&lt;cortex cell_diameter='0.0538604238736828' n_layers='2' order='6' cell_height='1.41299' wall_thickness='0.00256210418889721' smoothness='1' /&gt;</v>
      </c>
      <c r="C20" s="17"/>
    </row>
    <row r="21" spans="1:3" x14ac:dyDescent="0.3">
      <c r="B21" s="14" t="str">
        <f>IF(SUM(INPUTS!D18:L18)&gt;0,CONCATENATE("&lt;",INPUTS!B18," cell_diameter='",INPUTS!C18,IF(INPUTS!D18="","",CONCATENATE("' n_layers='",INPUTS!D18)),IF(INPUTS!E18="","",CONCATENATE("' n_files='",INPUTS!E18)),IF(INPUTS!F18="","",CONCATENATE("' n_cells_per_phloem='",INPUTS!F18)),IF(INPUTS!G18="","",CONCATENATE("' ratio='",INPUTS!G18)),IF(INPUTS!H18="","",CONCATENATE("' radius='",INPUTS!H18)),IF(INPUTS!I18="","",CONCATENATE("' order='",INPUTS!I18)),IF(INPUTS!J18="","",CONCATENATE("' cell_height='",INPUTS!J18)),IF(INPUTS!K18="","",CONCATENATE("' wall_thickness='",INPUTS!K18)),IF(INPUTS!L18="","",CONCATENATE("' smoothness='",INPUTS!L18)),"' /&gt;"),"")</f>
        <v/>
      </c>
      <c r="C21" s="17"/>
    </row>
    <row r="22" spans="1:3" x14ac:dyDescent="0.3">
      <c r="B22" s="14" t="str">
        <f>IF(SUM(INPUTS!D19:L19)&gt;0,CONCATENATE("&lt;",INPUTS!B19," cell_diameter='",INPUTS!C19,IF(INPUTS!D19="","",CONCATENATE("' n_layers='",INPUTS!D19)),IF(INPUTS!E19="","",CONCATENATE("' n_files='",INPUTS!E19)),IF(INPUTS!F19="","",CONCATENATE("' n_cells_per_phloem='",INPUTS!F19)),IF(INPUTS!G19="","",CONCATENATE("' ratio='",INPUTS!G19)),IF(INPUTS!H19="","",CONCATENATE("' radius='",INPUTS!H19)),IF(INPUTS!I19="","",CONCATENATE("' order='",INPUTS!I19)),IF(INPUTS!J19="","",CONCATENATE("' cell_height='",INPUTS!J19)),IF(INPUTS!K19="","",CONCATENATE("' wall_thickness='",INPUTS!K19)),IF(INPUTS!L19="","",CONCATENATE("' smoothness='",INPUTS!L19)),"' /&gt;"),"")</f>
        <v>&lt;exodermis cell_diameter='0.04' n_layers='1' order='8' cell_height='1.296576' wall_thickness='0.00418906420456565' smoothness='0.5' /&gt;</v>
      </c>
      <c r="C22" s="17"/>
    </row>
    <row r="23" spans="1:3" x14ac:dyDescent="0.3">
      <c r="B23" s="14" t="str">
        <f>IF(SUM(INPUTS!D20:L20)&gt;0,CONCATENATE("&lt;",INPUTS!B20," cell_diameter='",INPUTS!C20,IF(INPUTS!D20="","",CONCATENATE("' n_layers='",INPUTS!D20)),IF(INPUTS!E20="","",CONCATENATE("' n_files='",INPUTS!E20)),IF(INPUTS!F20="","",CONCATENATE("' n_cells_per_phloem='",INPUTS!F20)),IF(INPUTS!G20="","",CONCATENATE("' ratio='",INPUTS!G20)),IF(INPUTS!H20="","",CONCATENATE("' radius='",INPUTS!H20)),IF(INPUTS!I20="","",CONCATENATE("' order='",INPUTS!I20)),IF(INPUTS!J20="","",CONCATENATE("' cell_height='",INPUTS!J20)),IF(INPUTS!K20="","",CONCATENATE("' wall_thickness='",INPUTS!K20)),IF(INPUTS!L20="","",CONCATENATE("' smoothness='",INPUTS!L20)),"' /&gt;"),"")</f>
        <v>&lt;epidermis cell_diameter='0.02' n_layers='1' order='9' cell_height='1.296576' wall_thickness='0.00418906420456565' smoothness='0.2' /&gt;</v>
      </c>
      <c r="C23" s="17"/>
    </row>
    <row r="25" spans="1:3" x14ac:dyDescent="0.3">
      <c r="B25" s="13" t="s">
        <v>3</v>
      </c>
    </row>
    <row r="26" spans="1:3" x14ac:dyDescent="0.3">
      <c r="B26" s="14" t="str">
        <f>IF(SUM(INPUTS!C24:D24)=0,"",CONCATENATE("&lt;", INPUTS!B24, IF(INPUTS!C24="","",CONCATENATE(" proportion='",INPUTS!C24)),IF(INPUTS!C24="","",CONCATENATE("' n_files='",INPUTS!D24)),"' /&gt;"))</f>
        <v>&lt;aerenchyma proportion='0' n_files='10' /&gt;</v>
      </c>
    </row>
    <row r="27" spans="1:3" x14ac:dyDescent="0.3">
      <c r="B27" s="14" t="str">
        <f>IF(SUM(INPUTS!C28:C28)=0,"",CONCATENATE("&lt;", INPUTS!B28, IF(INPUTS!C28="","",CONCATENATE(" length='",INPUTS!C28)),IF(INPUTS!C28="","",CONCATENATE("' n_files='",INPUTS!D28)),"' /&gt;"))</f>
        <v/>
      </c>
    </row>
    <row r="29" spans="1:3" x14ac:dyDescent="0.3">
      <c r="A29" s="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INPUTS</vt:lpstr>
      <vt:lpstr>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2025-10-18T18:11:11Z</dcterms:modified>
</cp:coreProperties>
</file>